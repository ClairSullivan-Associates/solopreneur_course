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" sheetId="1" r:id="rId4"/>
    <sheet state="visible" name="annual" sheetId="2" r:id="rId5"/>
  </sheets>
  <definedNames/>
  <calcPr/>
</workbook>
</file>

<file path=xl/sharedStrings.xml><?xml version="1.0" encoding="utf-8"?>
<sst xmlns="http://schemas.openxmlformats.org/spreadsheetml/2006/main" count="38" uniqueCount="22">
  <si>
    <t>Hourly rate</t>
  </si>
  <si>
    <t>Weekly revenue (FT)</t>
  </si>
  <si>
    <t>Number of hours in a week</t>
  </si>
  <si>
    <t>Monthly revenue (FT)</t>
  </si>
  <si>
    <t>Health insurance</t>
  </si>
  <si>
    <t>Targeted monthly take home</t>
  </si>
  <si>
    <t>Expenses</t>
  </si>
  <si>
    <t>Monthly tax-deductible business expenses</t>
  </si>
  <si>
    <t>Revenue less insurance, expenses</t>
  </si>
  <si>
    <t>Federal tax (including self employment tax)</t>
  </si>
  <si>
    <t>Federal tax</t>
  </si>
  <si>
    <t>State tax</t>
  </si>
  <si>
    <t>Monthly take home pay</t>
  </si>
  <si>
    <t>Difference</t>
  </si>
  <si>
    <t>Number of weeks worked</t>
  </si>
  <si>
    <t>Annual revenue (actual)</t>
  </si>
  <si>
    <t>Annual revenue (FT)</t>
  </si>
  <si>
    <t>Health insurance (monthly)</t>
  </si>
  <si>
    <t>(if working 52 weeks)</t>
  </si>
  <si>
    <t>Number of months paying insurance</t>
  </si>
  <si>
    <t>Revenue minus insurance and expenses</t>
  </si>
  <si>
    <t>Revenue less insurance, expenses, taxes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</si>
</sst>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164" xfId="0" applyAlignment="1" applyFill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2" fontId="1" numFmtId="0" xfId="0" applyAlignment="1" applyFont="1">
      <alignment horizontal="right" vertical="bottom"/>
    </xf>
    <xf borderId="1" fillId="3" fontId="1" numFmtId="0" xfId="0" applyAlignment="1" applyBorder="1" applyFill="1" applyFont="1">
      <alignment vertical="bottom"/>
    </xf>
    <xf borderId="1" fillId="3" fontId="1" numFmtId="164" xfId="0" applyAlignment="1" applyBorder="1" applyFont="1" applyNumberFormat="1">
      <alignment horizontal="right" vertical="bottom"/>
    </xf>
    <xf borderId="0" fillId="2" fontId="1" numFmtId="164" xfId="0" applyAlignment="1" applyFont="1" applyNumberFormat="1">
      <alignment horizontal="right" vertical="bottom"/>
    </xf>
    <xf borderId="1" fillId="0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2" fontId="1" numFmtId="164" xfId="0" applyAlignment="1" applyFont="1" applyNumberFormat="1">
      <alignment horizontal="right" readingOrder="0" vertical="bottom"/>
    </xf>
    <xf borderId="0" fillId="3" fontId="1" numFmtId="0" xfId="0" applyAlignment="1" applyFont="1">
      <alignment vertical="bottom"/>
    </xf>
    <xf borderId="0" fillId="3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4" fontId="2" numFmtId="0" xfId="0" applyAlignment="1" applyFill="1" applyFont="1">
      <alignment vertical="bottom"/>
    </xf>
    <xf borderId="0" fillId="4" fontId="2" numFmtId="164" xfId="0" applyAlignment="1" applyFont="1" applyNumberFormat="1">
      <alignment horizontal="right" vertical="bottom"/>
    </xf>
    <xf borderId="0" fillId="2" fontId="1" numFmtId="3" xfId="0" applyAlignment="1" applyFont="1" applyNumberFormat="1">
      <alignment horizontal="right" vertical="bottom"/>
    </xf>
    <xf borderId="1" fillId="0" fontId="1" numFmtId="165" xfId="0" applyAlignment="1" applyBorder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4" max="4" width="26.88"/>
  </cols>
  <sheetData>
    <row r="1">
      <c r="A1" s="1" t="s">
        <v>0</v>
      </c>
      <c r="B1" s="2">
        <v>150.0</v>
      </c>
      <c r="C1" s="1"/>
      <c r="D1" s="1" t="s">
        <v>1</v>
      </c>
      <c r="E1" s="3">
        <f>B1*B2</f>
        <v>3750</v>
      </c>
    </row>
    <row r="2">
      <c r="A2" s="1" t="s">
        <v>2</v>
      </c>
      <c r="B2" s="4">
        <v>25.0</v>
      </c>
      <c r="C2" s="1"/>
      <c r="D2" s="5" t="s">
        <v>3</v>
      </c>
      <c r="E2" s="6">
        <f>E1*4</f>
        <v>15000</v>
      </c>
    </row>
    <row r="3">
      <c r="A3" s="1" t="s">
        <v>4</v>
      </c>
      <c r="B3" s="2">
        <v>1500.0</v>
      </c>
      <c r="C3" s="1"/>
      <c r="D3" s="1" t="s">
        <v>4</v>
      </c>
      <c r="E3" s="3">
        <f>B3</f>
        <v>1500</v>
      </c>
    </row>
    <row r="4">
      <c r="A4" s="1" t="s">
        <v>5</v>
      </c>
      <c r="B4" s="7">
        <v>8000.0</v>
      </c>
      <c r="C4" s="1"/>
      <c r="D4" s="8" t="s">
        <v>6</v>
      </c>
      <c r="E4" s="9">
        <f>B5</f>
        <v>750</v>
      </c>
    </row>
    <row r="5">
      <c r="A5" s="10" t="s">
        <v>7</v>
      </c>
      <c r="B5" s="11">
        <v>750.0</v>
      </c>
      <c r="C5" s="1"/>
      <c r="D5" s="12" t="s">
        <v>8</v>
      </c>
      <c r="E5" s="13">
        <f>E2-E3-E4</f>
        <v>12750</v>
      </c>
    </row>
    <row r="6">
      <c r="A6" s="1" t="s">
        <v>9</v>
      </c>
      <c r="B6" s="14">
        <v>0.29</v>
      </c>
      <c r="C6" s="1"/>
      <c r="D6" s="1" t="s">
        <v>10</v>
      </c>
      <c r="E6" s="3">
        <f>E5*B6</f>
        <v>3697.5</v>
      </c>
    </row>
    <row r="7">
      <c r="A7" s="1" t="s">
        <v>11</v>
      </c>
      <c r="B7" s="14">
        <v>0.0455</v>
      </c>
      <c r="C7" s="1"/>
      <c r="D7" s="1" t="s">
        <v>11</v>
      </c>
      <c r="E7" s="3">
        <f>E5*B7</f>
        <v>580.125</v>
      </c>
    </row>
    <row r="8">
      <c r="A8" s="1"/>
      <c r="B8" s="1"/>
      <c r="C8" s="1"/>
      <c r="D8" s="15" t="s">
        <v>12</v>
      </c>
      <c r="E8" s="16">
        <f>E5-E6-E7</f>
        <v>8472.375</v>
      </c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5" t="s">
        <v>13</v>
      </c>
      <c r="E11" s="16">
        <f>E8-B4</f>
        <v>472.375</v>
      </c>
    </row>
    <row r="12">
      <c r="A12" s="1"/>
      <c r="B1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5" max="5" width="33.13"/>
    <col customWidth="1" min="8" max="8" width="17.13"/>
  </cols>
  <sheetData>
    <row r="1">
      <c r="A1" s="1" t="s">
        <v>0</v>
      </c>
      <c r="B1" s="2">
        <v>150.0</v>
      </c>
      <c r="C1" s="1"/>
      <c r="D1" s="1"/>
      <c r="E1" s="1" t="s">
        <v>1</v>
      </c>
      <c r="F1" s="3">
        <f>B1*B3</f>
        <v>4500</v>
      </c>
      <c r="G1" s="1"/>
      <c r="H1" s="1"/>
      <c r="I1" s="1"/>
    </row>
    <row r="2">
      <c r="A2" s="1" t="s">
        <v>14</v>
      </c>
      <c r="B2" s="4">
        <v>48.0</v>
      </c>
      <c r="C2" s="1"/>
      <c r="D2" s="1"/>
      <c r="E2" s="8" t="s">
        <v>3</v>
      </c>
      <c r="F2" s="9">
        <f>B1*B3*4</f>
        <v>18000</v>
      </c>
      <c r="G2" s="1"/>
      <c r="H2" s="1"/>
      <c r="I2" s="1"/>
    </row>
    <row r="3">
      <c r="A3" s="1" t="s">
        <v>2</v>
      </c>
      <c r="B3" s="4">
        <v>30.0</v>
      </c>
      <c r="C3" s="1"/>
      <c r="D3" s="1"/>
      <c r="E3" s="12" t="s">
        <v>15</v>
      </c>
      <c r="F3" s="13">
        <f>B1*B2*B3</f>
        <v>216000</v>
      </c>
      <c r="G3" s="1"/>
      <c r="H3" s="15" t="s">
        <v>16</v>
      </c>
      <c r="I3" s="16">
        <f>F2*12</f>
        <v>216000</v>
      </c>
    </row>
    <row r="4">
      <c r="A4" s="1" t="s">
        <v>17</v>
      </c>
      <c r="B4" s="2">
        <v>1500.0</v>
      </c>
      <c r="C4" s="1"/>
      <c r="D4" s="1"/>
      <c r="E4" s="1" t="s">
        <v>4</v>
      </c>
      <c r="F4" s="3">
        <f>B4*B5</f>
        <v>18000</v>
      </c>
      <c r="G4" s="1"/>
      <c r="H4" s="1" t="s">
        <v>18</v>
      </c>
      <c r="I4" s="1"/>
    </row>
    <row r="5">
      <c r="A5" s="1" t="s">
        <v>19</v>
      </c>
      <c r="B5" s="17">
        <v>12.0</v>
      </c>
      <c r="C5" s="1"/>
      <c r="D5" s="1"/>
      <c r="E5" s="8" t="s">
        <v>6</v>
      </c>
      <c r="F5" s="18">
        <f>B7*12</f>
        <v>9000</v>
      </c>
      <c r="G5" s="1"/>
      <c r="H5" s="1"/>
      <c r="I5" s="1"/>
    </row>
    <row r="6">
      <c r="A6" s="1" t="s">
        <v>5</v>
      </c>
      <c r="B6" s="7">
        <v>8000.0</v>
      </c>
      <c r="C6" s="1"/>
      <c r="D6" s="1"/>
      <c r="E6" s="15" t="s">
        <v>20</v>
      </c>
      <c r="F6" s="16">
        <f>F3-F4-F5</f>
        <v>189000</v>
      </c>
      <c r="G6" s="1"/>
      <c r="H6" s="1"/>
      <c r="I6" s="1"/>
    </row>
    <row r="7">
      <c r="A7" s="10" t="s">
        <v>7</v>
      </c>
      <c r="B7" s="7">
        <v>750.0</v>
      </c>
      <c r="C7" s="1"/>
      <c r="D7" s="1"/>
      <c r="E7" s="1"/>
      <c r="F7" s="19"/>
      <c r="G7" s="1"/>
      <c r="H7" s="1"/>
      <c r="I7" s="1"/>
    </row>
    <row r="8">
      <c r="A8" s="1" t="s">
        <v>9</v>
      </c>
      <c r="B8" s="14">
        <v>0.29</v>
      </c>
      <c r="C8" s="1"/>
      <c r="D8" s="1"/>
      <c r="E8" s="1" t="s">
        <v>10</v>
      </c>
      <c r="F8" s="3">
        <f>F6*B8</f>
        <v>54810</v>
      </c>
      <c r="G8" s="1"/>
      <c r="H8" s="1"/>
      <c r="I8" s="1"/>
    </row>
    <row r="9">
      <c r="A9" s="1" t="s">
        <v>11</v>
      </c>
      <c r="B9" s="14">
        <v>0.0455</v>
      </c>
      <c r="C9" s="1"/>
      <c r="D9" s="1"/>
      <c r="E9" s="1" t="s">
        <v>11</v>
      </c>
      <c r="F9" s="3">
        <f>F6*B9</f>
        <v>8599.5</v>
      </c>
      <c r="G9" s="1"/>
      <c r="H9" s="1"/>
      <c r="I9" s="1"/>
    </row>
    <row r="10">
      <c r="A10" s="1"/>
      <c r="B10" s="1"/>
      <c r="C10" s="1"/>
      <c r="D10" s="1"/>
      <c r="E10" s="12" t="s">
        <v>21</v>
      </c>
      <c r="F10" s="13">
        <f>F6-F8-F9</f>
        <v>125590.5</v>
      </c>
      <c r="G10" s="1"/>
      <c r="H10" s="1"/>
      <c r="I10" s="1"/>
    </row>
    <row r="11">
      <c r="A11" s="1"/>
      <c r="B11" s="1"/>
      <c r="C11" s="1"/>
      <c r="D11" s="1"/>
      <c r="E11" s="1"/>
      <c r="F11" s="1"/>
      <c r="G11" s="1"/>
      <c r="H11" s="1"/>
      <c r="I11" s="1"/>
    </row>
    <row r="12">
      <c r="A12" s="1"/>
      <c r="B12" s="1"/>
      <c r="C12" s="1"/>
      <c r="D12" s="1"/>
      <c r="E12" s="15" t="s">
        <v>12</v>
      </c>
      <c r="F12" s="16">
        <f>F10/12</f>
        <v>10465.875</v>
      </c>
      <c r="G12" s="1"/>
      <c r="H12" s="1"/>
      <c r="I12" s="1"/>
    </row>
    <row r="13">
      <c r="A13" s="1"/>
      <c r="B13" s="1"/>
      <c r="C13" s="1"/>
      <c r="D13" s="1"/>
      <c r="E13" s="1"/>
      <c r="F13" s="1"/>
      <c r="G13" s="1"/>
      <c r="H13" s="1"/>
      <c r="I13" s="1"/>
    </row>
    <row r="14">
      <c r="A14" s="1"/>
      <c r="B14" s="1"/>
      <c r="C14" s="1"/>
      <c r="D14" s="1"/>
      <c r="E14" s="1"/>
      <c r="F14" s="1"/>
      <c r="G14" s="1"/>
      <c r="H14" s="1"/>
      <c r="I14" s="1"/>
    </row>
    <row r="15">
      <c r="A15" s="1"/>
      <c r="B15" s="1"/>
      <c r="C15" s="1"/>
      <c r="D15" s="1"/>
      <c r="E15" s="15" t="s">
        <v>13</v>
      </c>
      <c r="F15" s="16">
        <f>F12-B6</f>
        <v>2465.875</v>
      </c>
      <c r="G15" s="1"/>
      <c r="H15" s="1"/>
      <c r="I15" s="1"/>
    </row>
  </sheetData>
  <drawing r:id="rId1"/>
</worksheet>
</file>